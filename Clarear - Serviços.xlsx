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rear - Pós" sheetId="1" r:id="rId4"/>
    <sheet state="visible" name="Clarear - Vidros" sheetId="2" r:id="rId5"/>
  </sheets>
  <definedNames/>
  <calcPr/>
</workbook>
</file>

<file path=xl/sharedStrings.xml><?xml version="1.0" encoding="utf-8"?>
<sst xmlns="http://schemas.openxmlformats.org/spreadsheetml/2006/main" count="157" uniqueCount="58">
  <si>
    <t>Felipe Raimundi, Jurerê,Florianópolis-SC</t>
  </si>
  <si>
    <t>Percentual (%)</t>
  </si>
  <si>
    <t>Valor (R$)</t>
  </si>
  <si>
    <t>Valor Total da Obra (R$)</t>
  </si>
  <si>
    <t>Nota Fiscal</t>
  </si>
  <si>
    <t>Saldo restante</t>
  </si>
  <si>
    <t>Valores Recebidos</t>
  </si>
  <si>
    <t>Data recebida</t>
  </si>
  <si>
    <t>Gastos</t>
  </si>
  <si>
    <t>Data</t>
  </si>
  <si>
    <t>Materiais (limpa vidros, panos, esponjas, etc.)</t>
  </si>
  <si>
    <t xml:space="preserve">Mão de Obra terceirizada </t>
  </si>
  <si>
    <t>Alimentação</t>
  </si>
  <si>
    <t>Coordenação técnica (Hevlen)</t>
  </si>
  <si>
    <t>Administração (David)</t>
  </si>
  <si>
    <t>Logística e imprevistos</t>
  </si>
  <si>
    <t>Impostos e taxas (NF, Simples Nacional, etc.)</t>
  </si>
  <si>
    <t>Lucro líquido real da empresa</t>
  </si>
  <si>
    <t>Porcentagem Total</t>
  </si>
  <si>
    <t>Valor gasto</t>
  </si>
  <si>
    <t>Natura, Lagoa da Conceição, Florianópolis-SC</t>
  </si>
  <si>
    <t>Cronograma de Limpezas - 2025</t>
  </si>
  <si>
    <t>Pagamentos - 2025</t>
  </si>
  <si>
    <t>Clientes</t>
  </si>
  <si>
    <t>Quiero Café</t>
  </si>
  <si>
    <t>Top  Shape</t>
  </si>
  <si>
    <t>Padaria Passarinho</t>
  </si>
  <si>
    <t>Janeiro</t>
  </si>
  <si>
    <t>15//01/25</t>
  </si>
  <si>
    <t>Valor</t>
  </si>
  <si>
    <t>Fevereiro</t>
  </si>
  <si>
    <t>15//01/26</t>
  </si>
  <si>
    <t>Março</t>
  </si>
  <si>
    <t>15//01/27</t>
  </si>
  <si>
    <t>Abril</t>
  </si>
  <si>
    <t>15//01/28</t>
  </si>
  <si>
    <t>Maio</t>
  </si>
  <si>
    <t>15//01/29</t>
  </si>
  <si>
    <t>Junho</t>
  </si>
  <si>
    <t>15//01/30</t>
  </si>
  <si>
    <t>Julho</t>
  </si>
  <si>
    <t>15//01/31</t>
  </si>
  <si>
    <t>Agosto</t>
  </si>
  <si>
    <t>15//01/32</t>
  </si>
  <si>
    <t>Setembro</t>
  </si>
  <si>
    <t>15//01/33</t>
  </si>
  <si>
    <t>Outubro</t>
  </si>
  <si>
    <t>15//01/34</t>
  </si>
  <si>
    <t>Novembro</t>
  </si>
  <si>
    <t>15//01/35</t>
  </si>
  <si>
    <t>Dezembro</t>
  </si>
  <si>
    <t>15//01/36</t>
  </si>
  <si>
    <t>Total R$/Visitas</t>
  </si>
  <si>
    <t>12</t>
  </si>
  <si>
    <t>Total Geral R$</t>
  </si>
  <si>
    <t>Total Geral Visitas</t>
  </si>
  <si>
    <t>Cronograma de Limpezas - 2026</t>
  </si>
  <si>
    <t>Pagamentos - 2026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</si>
</sst>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 HH:mm:ss"/>
  </numFmts>
  <fonts count="6">
    <font>
      <sz val="10.0"/>
      <color rgb="FF000000"/>
      <name val="Arial"/>
      <scheme val="minor"/>
    </font>
    <font>
      <color theme="1"/>
      <name val="Comic Sans MS"/>
    </font>
    <font>
      <color theme="1"/>
      <name val="Arial"/>
    </font>
    <font>
      <b/>
      <color theme="1"/>
      <name val="Arial"/>
    </font>
    <font>
      <color rgb="FFFFFFFF"/>
      <name val="Comic Sans MS"/>
    </font>
    <font/>
  </fonts>
  <fills count="1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0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3" fontId="1" numFmtId="164" xfId="0" applyAlignment="1" applyFill="1" applyFont="1" applyNumberFormat="1">
      <alignment vertical="bottom"/>
    </xf>
    <xf borderId="0" fillId="4" fontId="1" numFmtId="164" xfId="0" applyAlignment="1" applyFill="1" applyFont="1" applyNumberForma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6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7" fontId="1" numFmtId="0" xfId="0" applyAlignment="1" applyFill="1" applyFont="1">
      <alignment vertical="bottom"/>
    </xf>
    <xf borderId="0" fillId="7" fontId="2" numFmtId="10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7" fontId="2" numFmtId="164" xfId="0" applyAlignment="1" applyFont="1" applyNumberFormat="1">
      <alignment vertical="bottom"/>
    </xf>
    <xf borderId="0" fillId="7" fontId="1" numFmtId="165" xfId="0" applyAlignment="1" applyFont="1" applyNumberFormat="1">
      <alignment horizontal="right" vertical="bottom"/>
    </xf>
    <xf borderId="0" fillId="7" fontId="1" numFmtId="4" xfId="0" applyAlignment="1" applyFont="1" applyNumberFormat="1">
      <alignment horizontal="right" vertical="bottom"/>
    </xf>
    <xf borderId="0" fillId="7" fontId="1" numFmtId="10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6" fontId="2" numFmtId="10" xfId="0" applyAlignment="1" applyFont="1" applyNumberFormat="1">
      <alignment horizontal="right" vertical="bottom"/>
    </xf>
    <xf borderId="0" fillId="6" fontId="2" numFmtId="164" xfId="0" applyAlignment="1" applyFont="1" applyNumberFormat="1">
      <alignment vertical="bottom"/>
    </xf>
    <xf borderId="0" fillId="6" fontId="1" numFmtId="165" xfId="0" applyAlignment="1" applyFont="1" applyNumberFormat="1">
      <alignment horizontal="right" vertical="bottom"/>
    </xf>
    <xf borderId="0" fillId="8" fontId="1" numFmtId="0" xfId="0" applyAlignment="1" applyFill="1" applyFont="1">
      <alignment vertical="bottom"/>
    </xf>
    <xf borderId="0" fillId="8" fontId="2" numFmtId="10" xfId="0" applyAlignment="1" applyFont="1" applyNumberFormat="1">
      <alignment horizontal="right" vertical="bottom"/>
    </xf>
    <xf borderId="0" fillId="9" fontId="3" numFmtId="164" xfId="0" applyAlignment="1" applyFill="1" applyFont="1" applyNumberFormat="1">
      <alignment vertical="bottom"/>
    </xf>
    <xf borderId="0" fillId="8" fontId="2" numFmtId="164" xfId="0" applyAlignment="1" applyFont="1" applyNumberFormat="1">
      <alignment vertical="bottom"/>
    </xf>
    <xf borderId="0" fillId="8" fontId="2" numFmtId="0" xfId="0" applyAlignment="1" applyFont="1">
      <alignment vertical="bottom"/>
    </xf>
    <xf borderId="0" fillId="8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6" fontId="2" numFmtId="165" xfId="0" applyAlignment="1" applyFont="1" applyNumberFormat="1">
      <alignment vertical="bottom"/>
    </xf>
    <xf borderId="0" fillId="6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1" fillId="10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1" fillId="2" fontId="4" numFmtId="0" xfId="0" applyAlignment="1" applyBorder="1" applyFont="1">
      <alignment horizontal="center" vertical="bottom"/>
    </xf>
    <xf borderId="4" fillId="7" fontId="2" numFmtId="0" xfId="0" applyAlignment="1" applyBorder="1" applyFont="1">
      <alignment vertical="bottom"/>
    </xf>
    <xf borderId="1" fillId="7" fontId="2" numFmtId="166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horizontal="center" vertical="bottom"/>
    </xf>
    <xf borderId="4" fillId="11" fontId="2" numFmtId="0" xfId="0" applyAlignment="1" applyBorder="1" applyFill="1" applyFont="1">
      <alignment vertical="bottom"/>
    </xf>
    <xf borderId="1" fillId="11" fontId="2" numFmtId="166" xfId="0" applyAlignment="1" applyBorder="1" applyFont="1" applyNumberFormat="1">
      <alignment horizontal="center" vertical="bottom"/>
    </xf>
    <xf borderId="1" fillId="11" fontId="2" numFmtId="0" xfId="0" applyAlignment="1" applyBorder="1" applyFont="1">
      <alignment horizontal="center" vertical="bottom"/>
    </xf>
    <xf borderId="4" fillId="12" fontId="2" numFmtId="0" xfId="0" applyAlignment="1" applyBorder="1" applyFill="1" applyFont="1">
      <alignment vertical="bottom"/>
    </xf>
    <xf borderId="4" fillId="12" fontId="2" numFmtId="165" xfId="0" applyAlignment="1" applyBorder="1" applyFont="1" applyNumberFormat="1">
      <alignment horizontal="center" vertical="bottom"/>
    </xf>
    <xf borderId="4" fillId="11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6" fontId="2" numFmtId="165" xfId="0" applyAlignment="1" applyBorder="1" applyFont="1" applyNumberFormat="1">
      <alignment horizontal="center" vertical="bottom"/>
    </xf>
    <xf borderId="4" fillId="12" fontId="2" numFmtId="164" xfId="0" applyAlignment="1" applyBorder="1" applyFont="1" applyNumberFormat="1">
      <alignment horizontal="center" vertical="bottom"/>
    </xf>
    <xf borderId="4" fillId="6" fontId="2" numFmtId="164" xfId="0" applyAlignment="1" applyBorder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4" fillId="7" fontId="3" numFmtId="0" xfId="0" applyAlignment="1" applyBorder="1" applyFont="1">
      <alignment vertical="bottom"/>
    </xf>
    <xf borderId="4" fillId="7" fontId="3" numFmtId="164" xfId="0" applyAlignment="1" applyBorder="1" applyFont="1" applyNumberFormat="1">
      <alignment horizontal="right" vertical="bottom"/>
    </xf>
    <xf borderId="4" fillId="7" fontId="3" numFmtId="49" xfId="0" applyAlignment="1" applyBorder="1" applyFont="1" applyNumberFormat="1">
      <alignment horizontal="center" vertical="bottom"/>
    </xf>
    <xf borderId="4" fillId="7" fontId="3" numFmtId="0" xfId="0" applyAlignment="1" applyBorder="1" applyFont="1">
      <alignment horizontal="center" vertical="bottom"/>
    </xf>
    <xf borderId="0" fillId="6" fontId="2" numFmtId="166" xfId="0" applyAlignment="1" applyFont="1" applyNumberFormat="1">
      <alignment vertical="bottom"/>
    </xf>
    <xf borderId="1" fillId="13" fontId="3" numFmtId="0" xfId="0" applyAlignment="1" applyBorder="1" applyFill="1" applyFont="1">
      <alignment horizontal="center" readingOrder="0" vertical="bottom"/>
    </xf>
    <xf borderId="4" fillId="13" fontId="3" numFmtId="164" xfId="0" applyAlignment="1" applyBorder="1" applyFont="1" applyNumberFormat="1">
      <alignment vertical="bottom"/>
    </xf>
    <xf borderId="4" fillId="13" fontId="3" numFmtId="49" xfId="0" applyAlignment="1" applyBorder="1" applyFont="1" applyNumberFormat="1">
      <alignment vertical="bottom"/>
    </xf>
    <xf borderId="0" fillId="14" fontId="2" numFmtId="0" xfId="0" applyAlignment="1" applyFill="1" applyFont="1">
      <alignment vertical="bottom"/>
    </xf>
    <xf borderId="0" fillId="14" fontId="2" numFmtId="166" xfId="0" applyAlignment="1" applyFont="1" applyNumberFormat="1">
      <alignment vertical="bottom"/>
    </xf>
    <xf borderId="4" fillId="12" fontId="2" numFmtId="164" xfId="0" applyAlignment="1" applyBorder="1" applyFont="1" applyNumberFormat="1">
      <alignment horizontal="center" readingOrder="0" vertical="bottom"/>
    </xf>
    <xf borderId="4" fillId="6" fontId="2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5</v>
      </c>
      <c r="L1" s="7" t="s">
        <v>1</v>
      </c>
    </row>
    <row r="2">
      <c r="A2" s="8" t="s">
        <v>10</v>
      </c>
      <c r="B2" s="9">
        <f t="shared" ref="B2:B9" si="1">C2/$D$2</f>
        <v>0.05555555556</v>
      </c>
      <c r="C2" s="10">
        <v>200.0</v>
      </c>
      <c r="D2" s="10">
        <v>3600.0</v>
      </c>
      <c r="E2" s="10">
        <f>D2*10%</f>
        <v>360</v>
      </c>
      <c r="F2" s="10">
        <f>D2-SUM(G2:G9)</f>
        <v>3600</v>
      </c>
      <c r="G2" s="10">
        <v>0.0</v>
      </c>
      <c r="H2" s="11">
        <v>45905.0</v>
      </c>
      <c r="I2" s="12">
        <v>0.0</v>
      </c>
      <c r="J2" s="11">
        <v>45910.0</v>
      </c>
      <c r="K2" s="13">
        <f t="shared" ref="K2:K9" si="2">C2-I2</f>
        <v>200</v>
      </c>
      <c r="L2" s="14">
        <f t="shared" ref="L2:L9" si="3">I2/C2</f>
        <v>0</v>
      </c>
    </row>
    <row r="3">
      <c r="A3" s="15" t="s">
        <v>11</v>
      </c>
      <c r="B3" s="16">
        <f t="shared" si="1"/>
        <v>0.125</v>
      </c>
      <c r="C3" s="17">
        <v>450.0</v>
      </c>
      <c r="D3" s="18"/>
      <c r="E3" s="18"/>
      <c r="F3" s="18"/>
      <c r="G3" s="17">
        <v>0.0</v>
      </c>
      <c r="H3" s="19">
        <v>45906.0</v>
      </c>
      <c r="I3" s="20">
        <v>0.0</v>
      </c>
      <c r="J3" s="19">
        <v>45911.0</v>
      </c>
      <c r="K3" s="17">
        <f t="shared" si="2"/>
        <v>450</v>
      </c>
      <c r="L3" s="21">
        <f t="shared" si="3"/>
        <v>0</v>
      </c>
    </row>
    <row r="4">
      <c r="A4" s="8" t="s">
        <v>12</v>
      </c>
      <c r="B4" s="9">
        <f t="shared" si="1"/>
        <v>0.02777777778</v>
      </c>
      <c r="C4" s="10">
        <v>100.0</v>
      </c>
      <c r="D4" s="22"/>
      <c r="E4" s="22"/>
      <c r="F4" s="22"/>
      <c r="G4" s="10">
        <v>0.0</v>
      </c>
      <c r="H4" s="11">
        <v>45907.0</v>
      </c>
      <c r="I4" s="12">
        <v>0.0</v>
      </c>
      <c r="J4" s="11">
        <v>45912.0</v>
      </c>
      <c r="K4" s="13">
        <f t="shared" si="2"/>
        <v>100</v>
      </c>
      <c r="L4" s="14">
        <f t="shared" si="3"/>
        <v>0</v>
      </c>
    </row>
    <row r="5">
      <c r="A5" s="15" t="s">
        <v>13</v>
      </c>
      <c r="B5" s="16">
        <f t="shared" si="1"/>
        <v>0.06944444444</v>
      </c>
      <c r="C5" s="17">
        <v>250.0</v>
      </c>
      <c r="D5" s="18"/>
      <c r="E5" s="18"/>
      <c r="F5" s="18"/>
      <c r="G5" s="17">
        <v>0.0</v>
      </c>
      <c r="H5" s="19">
        <v>45908.0</v>
      </c>
      <c r="I5" s="20">
        <v>0.0</v>
      </c>
      <c r="J5" s="19">
        <v>45913.0</v>
      </c>
      <c r="K5" s="17">
        <f t="shared" si="2"/>
        <v>250</v>
      </c>
      <c r="L5" s="21">
        <f t="shared" si="3"/>
        <v>0</v>
      </c>
    </row>
    <row r="6">
      <c r="A6" s="23" t="s">
        <v>14</v>
      </c>
      <c r="B6" s="24">
        <f t="shared" si="1"/>
        <v>0.06944444444</v>
      </c>
      <c r="C6" s="13">
        <v>250.0</v>
      </c>
      <c r="D6" s="25"/>
      <c r="E6" s="25"/>
      <c r="F6" s="22"/>
      <c r="G6" s="10">
        <v>0.0</v>
      </c>
      <c r="H6" s="11">
        <v>45909.0</v>
      </c>
      <c r="I6" s="12">
        <v>0.0</v>
      </c>
      <c r="J6" s="11">
        <v>45914.0</v>
      </c>
      <c r="K6" s="13">
        <f t="shared" si="2"/>
        <v>250</v>
      </c>
      <c r="L6" s="14">
        <f t="shared" si="3"/>
        <v>0</v>
      </c>
    </row>
    <row r="7">
      <c r="A7" s="15" t="s">
        <v>15</v>
      </c>
      <c r="B7" s="16">
        <f t="shared" si="1"/>
        <v>0.05555555556</v>
      </c>
      <c r="C7" s="17">
        <v>200.0</v>
      </c>
      <c r="D7" s="18"/>
      <c r="E7" s="18"/>
      <c r="F7" s="18"/>
      <c r="G7" s="17">
        <v>0.0</v>
      </c>
      <c r="H7" s="19">
        <v>45910.0</v>
      </c>
      <c r="I7" s="20">
        <v>0.0</v>
      </c>
      <c r="J7" s="19">
        <v>45915.0</v>
      </c>
      <c r="K7" s="17">
        <f t="shared" si="2"/>
        <v>200</v>
      </c>
      <c r="L7" s="21">
        <f t="shared" si="3"/>
        <v>0</v>
      </c>
    </row>
    <row r="8">
      <c r="A8" s="23" t="s">
        <v>16</v>
      </c>
      <c r="B8" s="24">
        <f t="shared" si="1"/>
        <v>0.09722222222</v>
      </c>
      <c r="C8" s="13">
        <v>350.0</v>
      </c>
      <c r="D8" s="25"/>
      <c r="E8" s="25"/>
      <c r="F8" s="22"/>
      <c r="G8" s="10">
        <v>0.0</v>
      </c>
      <c r="H8" s="11">
        <v>45911.0</v>
      </c>
      <c r="I8" s="12">
        <v>0.0</v>
      </c>
      <c r="J8" s="26">
        <v>45916.0</v>
      </c>
      <c r="K8" s="13">
        <f t="shared" si="2"/>
        <v>350</v>
      </c>
      <c r="L8" s="14">
        <f t="shared" si="3"/>
        <v>0</v>
      </c>
    </row>
    <row r="9">
      <c r="A9" s="15" t="s">
        <v>17</v>
      </c>
      <c r="B9" s="16">
        <f t="shared" si="1"/>
        <v>0.5</v>
      </c>
      <c r="C9" s="17">
        <v>1800.0</v>
      </c>
      <c r="D9" s="18"/>
      <c r="E9" s="18"/>
      <c r="F9" s="18"/>
      <c r="G9" s="17">
        <v>0.0</v>
      </c>
      <c r="H9" s="19">
        <v>45912.0</v>
      </c>
      <c r="I9" s="20">
        <v>0.0</v>
      </c>
      <c r="J9" s="19">
        <v>45917.0</v>
      </c>
      <c r="K9" s="17">
        <f t="shared" si="2"/>
        <v>1800</v>
      </c>
      <c r="L9" s="21">
        <f t="shared" si="3"/>
        <v>0</v>
      </c>
    </row>
    <row r="10">
      <c r="A10" s="27" t="s">
        <v>18</v>
      </c>
      <c r="B10" s="28">
        <f>SUM(B2:B9)</f>
        <v>1</v>
      </c>
      <c r="C10" s="29" t="str">
        <f>IF(B10&gt;1,"⚠ Passou de 100%!",IF(B10=1,"✅ Fechou 100%!","Ainda falta"))</f>
        <v>✅ Fechou 100%!</v>
      </c>
      <c r="D10" s="30"/>
      <c r="E10" s="30"/>
      <c r="F10" s="30"/>
      <c r="G10" s="30"/>
      <c r="H10" s="31"/>
      <c r="I10" s="32"/>
      <c r="J10" s="32"/>
      <c r="K10" s="32"/>
      <c r="L10" s="32"/>
    </row>
    <row r="11">
      <c r="A11" s="33"/>
      <c r="B11" s="9">
        <f>1-SUM(B2:B9)</f>
        <v>0</v>
      </c>
      <c r="C11" s="34">
        <f>SUM(C2:C9)</f>
        <v>3600</v>
      </c>
      <c r="D11" s="35" t="s">
        <v>19</v>
      </c>
      <c r="E11" s="22"/>
      <c r="F11" s="22"/>
      <c r="G11" s="22"/>
      <c r="H11" s="33"/>
      <c r="I11" s="36"/>
      <c r="J11" s="37"/>
      <c r="K11" s="38"/>
      <c r="L11" s="39"/>
    </row>
    <row r="12">
      <c r="A12" s="33"/>
      <c r="B12" s="39"/>
      <c r="C12" s="34">
        <f>$D$2-SUM(C2:C9)</f>
        <v>0</v>
      </c>
      <c r="D12" s="35" t="s">
        <v>5</v>
      </c>
      <c r="E12" s="22"/>
      <c r="F12" s="22"/>
      <c r="G12" s="22"/>
      <c r="H12" s="33"/>
      <c r="I12" s="36"/>
      <c r="J12" s="37"/>
      <c r="K12" s="38"/>
      <c r="L12" s="39"/>
    </row>
    <row r="13">
      <c r="A13" s="33"/>
      <c r="B13" s="39"/>
      <c r="C13" s="22"/>
      <c r="D13" s="22"/>
      <c r="E13" s="22"/>
      <c r="F13" s="22"/>
      <c r="G13" s="22"/>
      <c r="H13" s="33"/>
      <c r="I13" s="36"/>
      <c r="J13" s="37"/>
      <c r="K13" s="38"/>
      <c r="L13" s="39"/>
    </row>
    <row r="14">
      <c r="A14" s="1" t="s">
        <v>20</v>
      </c>
      <c r="B14" s="2" t="s">
        <v>1</v>
      </c>
      <c r="C14" s="3" t="s">
        <v>2</v>
      </c>
      <c r="D14" s="3" t="s">
        <v>3</v>
      </c>
      <c r="E14" s="4" t="s">
        <v>4</v>
      </c>
      <c r="F14" s="3" t="s">
        <v>5</v>
      </c>
      <c r="G14" s="5" t="s">
        <v>6</v>
      </c>
      <c r="H14" s="6" t="s">
        <v>7</v>
      </c>
      <c r="I14" s="7" t="s">
        <v>8</v>
      </c>
      <c r="J14" s="7" t="s">
        <v>9</v>
      </c>
      <c r="K14" s="7" t="s">
        <v>5</v>
      </c>
      <c r="L14" s="7" t="s">
        <v>1</v>
      </c>
    </row>
    <row r="15">
      <c r="A15" s="8" t="s">
        <v>10</v>
      </c>
      <c r="B15" s="9">
        <f t="shared" ref="B15:B22" si="4">C15/$D$15</f>
        <v>0.04618937644</v>
      </c>
      <c r="C15" s="10">
        <v>2000.0</v>
      </c>
      <c r="D15" s="10">
        <v>43300.0</v>
      </c>
      <c r="E15" s="10">
        <f>D15*10%</f>
        <v>4330</v>
      </c>
      <c r="F15" s="10">
        <f>D15-SUM(G15:G22)</f>
        <v>43300</v>
      </c>
      <c r="G15" s="10">
        <v>0.0</v>
      </c>
      <c r="H15" s="11">
        <v>45905.0</v>
      </c>
      <c r="I15" s="12">
        <v>0.0</v>
      </c>
      <c r="J15" s="11">
        <v>45910.0</v>
      </c>
      <c r="K15" s="13">
        <f t="shared" ref="K15:K22" si="5">C15-I15</f>
        <v>2000</v>
      </c>
      <c r="L15" s="14">
        <f t="shared" ref="L15:L22" si="6">I15/C15</f>
        <v>0</v>
      </c>
    </row>
    <row r="16">
      <c r="A16" s="15" t="s">
        <v>11</v>
      </c>
      <c r="B16" s="16">
        <f t="shared" si="4"/>
        <v>0.207852194</v>
      </c>
      <c r="C16" s="17">
        <v>9000.0</v>
      </c>
      <c r="D16" s="18"/>
      <c r="E16" s="18"/>
      <c r="F16" s="18"/>
      <c r="G16" s="17">
        <v>0.0</v>
      </c>
      <c r="H16" s="19">
        <v>45906.0</v>
      </c>
      <c r="I16" s="20">
        <v>0.0</v>
      </c>
      <c r="J16" s="19">
        <v>45911.0</v>
      </c>
      <c r="K16" s="17">
        <f t="shared" si="5"/>
        <v>9000</v>
      </c>
      <c r="L16" s="21">
        <f t="shared" si="6"/>
        <v>0</v>
      </c>
    </row>
    <row r="17">
      <c r="A17" s="8" t="s">
        <v>12</v>
      </c>
      <c r="B17" s="9">
        <f t="shared" si="4"/>
        <v>0.06062355658</v>
      </c>
      <c r="C17" s="10">
        <v>2625.0</v>
      </c>
      <c r="D17" s="22"/>
      <c r="E17" s="22"/>
      <c r="F17" s="22"/>
      <c r="G17" s="10">
        <v>0.0</v>
      </c>
      <c r="H17" s="11">
        <v>45907.0</v>
      </c>
      <c r="I17" s="12">
        <v>0.0</v>
      </c>
      <c r="J17" s="11">
        <v>45912.0</v>
      </c>
      <c r="K17" s="13">
        <f t="shared" si="5"/>
        <v>2625</v>
      </c>
      <c r="L17" s="14">
        <f t="shared" si="6"/>
        <v>0</v>
      </c>
    </row>
    <row r="18">
      <c r="A18" s="15" t="s">
        <v>13</v>
      </c>
      <c r="B18" s="16">
        <f t="shared" si="4"/>
        <v>0.01154734411</v>
      </c>
      <c r="C18" s="17">
        <v>500.0</v>
      </c>
      <c r="D18" s="18"/>
      <c r="E18" s="18"/>
      <c r="F18" s="18"/>
      <c r="G18" s="17">
        <v>0.0</v>
      </c>
      <c r="H18" s="19">
        <v>45908.0</v>
      </c>
      <c r="I18" s="20">
        <v>0.0</v>
      </c>
      <c r="J18" s="19">
        <v>45913.0</v>
      </c>
      <c r="K18" s="17">
        <f t="shared" si="5"/>
        <v>500</v>
      </c>
      <c r="L18" s="21">
        <f t="shared" si="6"/>
        <v>0</v>
      </c>
    </row>
    <row r="19">
      <c r="A19" s="23" t="s">
        <v>14</v>
      </c>
      <c r="B19" s="24">
        <f t="shared" si="4"/>
        <v>0.01154734411</v>
      </c>
      <c r="C19" s="13">
        <v>500.0</v>
      </c>
      <c r="D19" s="25"/>
      <c r="E19" s="25"/>
      <c r="F19" s="22"/>
      <c r="G19" s="10">
        <v>0.0</v>
      </c>
      <c r="H19" s="11">
        <v>45909.0</v>
      </c>
      <c r="I19" s="12">
        <v>0.0</v>
      </c>
      <c r="J19" s="11">
        <v>45914.0</v>
      </c>
      <c r="K19" s="13">
        <f t="shared" si="5"/>
        <v>500</v>
      </c>
      <c r="L19" s="14">
        <f t="shared" si="6"/>
        <v>0</v>
      </c>
    </row>
    <row r="20">
      <c r="A20" s="15" t="s">
        <v>15</v>
      </c>
      <c r="B20" s="16">
        <f t="shared" si="4"/>
        <v>0.04618937644</v>
      </c>
      <c r="C20" s="17">
        <v>2000.0</v>
      </c>
      <c r="D20" s="18"/>
      <c r="E20" s="18"/>
      <c r="F20" s="18"/>
      <c r="G20" s="17">
        <v>0.0</v>
      </c>
      <c r="H20" s="19">
        <v>45910.0</v>
      </c>
      <c r="I20" s="20">
        <v>0.0</v>
      </c>
      <c r="J20" s="19">
        <v>45915.0</v>
      </c>
      <c r="K20" s="17">
        <f t="shared" si="5"/>
        <v>2000</v>
      </c>
      <c r="L20" s="21">
        <f t="shared" si="6"/>
        <v>0</v>
      </c>
    </row>
    <row r="21">
      <c r="A21" s="23" t="s">
        <v>16</v>
      </c>
      <c r="B21" s="24">
        <f t="shared" si="4"/>
        <v>0.09930715935</v>
      </c>
      <c r="C21" s="13">
        <v>4300.0</v>
      </c>
      <c r="D21" s="25"/>
      <c r="E21" s="25"/>
      <c r="F21" s="22"/>
      <c r="G21" s="10">
        <v>0.0</v>
      </c>
      <c r="H21" s="11">
        <v>45911.0</v>
      </c>
      <c r="I21" s="12">
        <v>0.0</v>
      </c>
      <c r="J21" s="26">
        <v>45916.0</v>
      </c>
      <c r="K21" s="13">
        <f t="shared" si="5"/>
        <v>4300</v>
      </c>
      <c r="L21" s="14">
        <f t="shared" si="6"/>
        <v>0</v>
      </c>
    </row>
    <row r="22">
      <c r="A22" s="15" t="s">
        <v>17</v>
      </c>
      <c r="B22" s="16">
        <f t="shared" si="4"/>
        <v>0.516743649</v>
      </c>
      <c r="C22" s="17">
        <v>22375.0</v>
      </c>
      <c r="D22" s="18"/>
      <c r="E22" s="18"/>
      <c r="F22" s="18"/>
      <c r="G22" s="17">
        <v>0.0</v>
      </c>
      <c r="H22" s="19">
        <v>45912.0</v>
      </c>
      <c r="I22" s="20">
        <v>0.0</v>
      </c>
      <c r="J22" s="19">
        <v>45917.0</v>
      </c>
      <c r="K22" s="17">
        <f t="shared" si="5"/>
        <v>22375</v>
      </c>
      <c r="L22" s="21">
        <f t="shared" si="6"/>
        <v>0</v>
      </c>
    </row>
    <row r="23">
      <c r="A23" s="27" t="s">
        <v>18</v>
      </c>
      <c r="B23" s="28">
        <f>SUM(B15:B22)</f>
        <v>1</v>
      </c>
      <c r="C23" s="29" t="str">
        <f>IF(B23&gt;1,"⚠ Passou de 100%!",IF(B23=1,"✅ Fechou 100%!","Ainda falta"))</f>
        <v>✅ Fechou 100%!</v>
      </c>
      <c r="D23" s="30"/>
      <c r="E23" s="30"/>
      <c r="F23" s="30"/>
      <c r="G23" s="30"/>
      <c r="H23" s="31"/>
      <c r="I23" s="32"/>
      <c r="J23" s="32"/>
      <c r="K23" s="32"/>
      <c r="L23" s="32"/>
    </row>
    <row r="24">
      <c r="A24" s="33"/>
      <c r="B24" s="9">
        <f>1-SUM(B15:B22)</f>
        <v>0</v>
      </c>
      <c r="C24" s="34">
        <f>SUM(C15:C22)</f>
        <v>43300</v>
      </c>
      <c r="D24" s="35" t="s">
        <v>19</v>
      </c>
      <c r="E24" s="22"/>
      <c r="F24" s="22"/>
      <c r="G24" s="22"/>
      <c r="H24" s="33"/>
      <c r="I24" s="36"/>
      <c r="J24" s="37"/>
      <c r="K24" s="38"/>
      <c r="L24" s="39"/>
    </row>
    <row r="25">
      <c r="A25" s="33"/>
      <c r="B25" s="39"/>
      <c r="C25" s="34">
        <f>$D$15-SUM(C15:C22)</f>
        <v>0</v>
      </c>
      <c r="D25" s="35" t="s">
        <v>5</v>
      </c>
      <c r="E25" s="22"/>
      <c r="F25" s="22"/>
      <c r="G25" s="22"/>
      <c r="H25" s="33"/>
      <c r="I25" s="36"/>
      <c r="J25" s="37"/>
      <c r="K25" s="38"/>
      <c r="L25" s="3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88"/>
  </cols>
  <sheetData>
    <row r="1">
      <c r="A1" s="40" t="s">
        <v>21</v>
      </c>
      <c r="B1" s="41"/>
      <c r="C1" s="41"/>
      <c r="D1" s="41"/>
      <c r="E1" s="41"/>
      <c r="F1" s="41"/>
      <c r="G1" s="42"/>
      <c r="H1" s="38"/>
      <c r="I1" s="43" t="s">
        <v>22</v>
      </c>
      <c r="J1" s="41"/>
      <c r="K1" s="41"/>
      <c r="L1" s="41"/>
      <c r="M1" s="41"/>
      <c r="N1" s="41"/>
      <c r="O1" s="42"/>
    </row>
    <row r="2">
      <c r="A2" s="44" t="s">
        <v>23</v>
      </c>
      <c r="B2" s="45" t="s">
        <v>24</v>
      </c>
      <c r="C2" s="42"/>
      <c r="D2" s="46" t="s">
        <v>25</v>
      </c>
      <c r="E2" s="42"/>
      <c r="F2" s="46" t="s">
        <v>26</v>
      </c>
      <c r="G2" s="42"/>
      <c r="H2" s="33"/>
      <c r="I2" s="47" t="s">
        <v>23</v>
      </c>
      <c r="J2" s="48" t="s">
        <v>24</v>
      </c>
      <c r="K2" s="42"/>
      <c r="L2" s="49" t="s">
        <v>25</v>
      </c>
      <c r="M2" s="42"/>
      <c r="N2" s="49" t="s">
        <v>26</v>
      </c>
      <c r="O2" s="42"/>
    </row>
    <row r="3">
      <c r="A3" s="50" t="s">
        <v>27</v>
      </c>
      <c r="B3" s="51">
        <v>45672.0</v>
      </c>
      <c r="C3" s="51">
        <v>45672.0</v>
      </c>
      <c r="D3" s="51" t="s">
        <v>28</v>
      </c>
      <c r="E3" s="51">
        <v>45672.0</v>
      </c>
      <c r="F3" s="51">
        <v>45709.0</v>
      </c>
      <c r="G3" s="51">
        <v>45709.0</v>
      </c>
      <c r="H3" s="33"/>
      <c r="I3" s="47"/>
      <c r="J3" s="52" t="s">
        <v>29</v>
      </c>
      <c r="K3" s="52" t="s">
        <v>9</v>
      </c>
      <c r="L3" s="52" t="s">
        <v>29</v>
      </c>
      <c r="M3" s="52" t="s">
        <v>9</v>
      </c>
      <c r="N3" s="52" t="s">
        <v>29</v>
      </c>
      <c r="O3" s="52" t="s">
        <v>9</v>
      </c>
    </row>
    <row r="4">
      <c r="A4" s="53" t="s">
        <v>30</v>
      </c>
      <c r="B4" s="54">
        <v>45673.0</v>
      </c>
      <c r="C4" s="54">
        <v>45673.0</v>
      </c>
      <c r="D4" s="54" t="s">
        <v>31</v>
      </c>
      <c r="E4" s="54">
        <v>45673.0</v>
      </c>
      <c r="F4" s="54">
        <v>45710.0</v>
      </c>
      <c r="G4" s="54">
        <v>45710.0</v>
      </c>
      <c r="H4" s="33"/>
      <c r="I4" s="50" t="s">
        <v>27</v>
      </c>
      <c r="J4" s="55">
        <v>1150.0</v>
      </c>
      <c r="K4" s="51">
        <v>45672.0</v>
      </c>
      <c r="L4" s="55">
        <v>450.0</v>
      </c>
      <c r="M4" s="51">
        <v>45672.0</v>
      </c>
      <c r="N4" s="55">
        <v>45709.0</v>
      </c>
      <c r="O4" s="51">
        <v>45709.0</v>
      </c>
    </row>
    <row r="5">
      <c r="A5" s="50" t="s">
        <v>32</v>
      </c>
      <c r="B5" s="51">
        <v>45674.0</v>
      </c>
      <c r="C5" s="51">
        <v>45674.0</v>
      </c>
      <c r="D5" s="51" t="s">
        <v>33</v>
      </c>
      <c r="E5" s="51">
        <v>45674.0</v>
      </c>
      <c r="F5" s="51">
        <v>45711.0</v>
      </c>
      <c r="G5" s="51">
        <v>45711.0</v>
      </c>
      <c r="H5" s="33"/>
      <c r="I5" s="53" t="s">
        <v>30</v>
      </c>
      <c r="J5" s="56">
        <v>1150.0</v>
      </c>
      <c r="K5" s="54">
        <v>45673.0</v>
      </c>
      <c r="L5" s="56">
        <v>450.0</v>
      </c>
      <c r="M5" s="54">
        <v>45673.0</v>
      </c>
      <c r="N5" s="56">
        <v>45710.0</v>
      </c>
      <c r="O5" s="54">
        <v>45710.0</v>
      </c>
    </row>
    <row r="6">
      <c r="A6" s="53" t="s">
        <v>34</v>
      </c>
      <c r="B6" s="54">
        <v>45675.0</v>
      </c>
      <c r="C6" s="54">
        <v>45675.0</v>
      </c>
      <c r="D6" s="54" t="s">
        <v>35</v>
      </c>
      <c r="E6" s="54">
        <v>45675.0</v>
      </c>
      <c r="F6" s="54">
        <v>45712.0</v>
      </c>
      <c r="G6" s="54">
        <v>45712.0</v>
      </c>
      <c r="H6" s="33"/>
      <c r="I6" s="50" t="s">
        <v>32</v>
      </c>
      <c r="J6" s="55">
        <v>1150.0</v>
      </c>
      <c r="K6" s="51">
        <v>45674.0</v>
      </c>
      <c r="L6" s="55">
        <v>450.0</v>
      </c>
      <c r="M6" s="51">
        <v>45674.0</v>
      </c>
      <c r="N6" s="55">
        <v>45711.0</v>
      </c>
      <c r="O6" s="51">
        <v>45711.0</v>
      </c>
    </row>
    <row r="7">
      <c r="A7" s="50" t="s">
        <v>36</v>
      </c>
      <c r="B7" s="51">
        <v>45676.0</v>
      </c>
      <c r="C7" s="51">
        <v>45676.0</v>
      </c>
      <c r="D7" s="51" t="s">
        <v>37</v>
      </c>
      <c r="E7" s="51">
        <v>45676.0</v>
      </c>
      <c r="F7" s="51">
        <v>45713.0</v>
      </c>
      <c r="G7" s="51">
        <v>45713.0</v>
      </c>
      <c r="H7" s="33"/>
      <c r="I7" s="53" t="s">
        <v>34</v>
      </c>
      <c r="J7" s="56">
        <v>15.0</v>
      </c>
      <c r="K7" s="54">
        <v>45675.0</v>
      </c>
      <c r="L7" s="56">
        <v>450.0</v>
      </c>
      <c r="M7" s="54">
        <v>45675.0</v>
      </c>
      <c r="N7" s="56">
        <v>45712.0</v>
      </c>
      <c r="O7" s="54">
        <v>45712.0</v>
      </c>
    </row>
    <row r="8">
      <c r="A8" s="53" t="s">
        <v>38</v>
      </c>
      <c r="B8" s="54">
        <v>45677.0</v>
      </c>
      <c r="C8" s="54">
        <v>45677.0</v>
      </c>
      <c r="D8" s="54" t="s">
        <v>39</v>
      </c>
      <c r="E8" s="54">
        <v>45677.0</v>
      </c>
      <c r="F8" s="54">
        <v>45714.0</v>
      </c>
      <c r="G8" s="54">
        <v>45714.0</v>
      </c>
      <c r="H8" s="33"/>
      <c r="I8" s="50" t="s">
        <v>36</v>
      </c>
      <c r="J8" s="55">
        <v>1150.0</v>
      </c>
      <c r="K8" s="51">
        <v>45676.0</v>
      </c>
      <c r="L8" s="55">
        <v>450.0</v>
      </c>
      <c r="M8" s="51">
        <v>45676.0</v>
      </c>
      <c r="N8" s="55">
        <v>45713.0</v>
      </c>
      <c r="O8" s="51">
        <v>45713.0</v>
      </c>
    </row>
    <row r="9">
      <c r="A9" s="50" t="s">
        <v>40</v>
      </c>
      <c r="B9" s="51">
        <v>45678.0</v>
      </c>
      <c r="C9" s="51">
        <v>45678.0</v>
      </c>
      <c r="D9" s="51" t="s">
        <v>41</v>
      </c>
      <c r="E9" s="51">
        <v>45678.0</v>
      </c>
      <c r="F9" s="51">
        <v>45715.0</v>
      </c>
      <c r="G9" s="51">
        <v>45715.0</v>
      </c>
      <c r="H9" s="33"/>
      <c r="I9" s="53" t="s">
        <v>38</v>
      </c>
      <c r="J9" s="56">
        <v>1150.0</v>
      </c>
      <c r="K9" s="54">
        <v>45677.0</v>
      </c>
      <c r="L9" s="56">
        <v>450.0</v>
      </c>
      <c r="M9" s="54">
        <v>45677.0</v>
      </c>
      <c r="N9" s="56">
        <v>45714.0</v>
      </c>
      <c r="O9" s="54">
        <v>45714.0</v>
      </c>
    </row>
    <row r="10">
      <c r="A10" s="53" t="s">
        <v>42</v>
      </c>
      <c r="B10" s="54">
        <v>45679.0</v>
      </c>
      <c r="C10" s="54">
        <v>45679.0</v>
      </c>
      <c r="D10" s="54" t="s">
        <v>43</v>
      </c>
      <c r="E10" s="54">
        <v>45679.0</v>
      </c>
      <c r="F10" s="54">
        <v>45716.0</v>
      </c>
      <c r="G10" s="54">
        <v>45716.0</v>
      </c>
      <c r="H10" s="33"/>
      <c r="I10" s="50" t="s">
        <v>40</v>
      </c>
      <c r="J10" s="55">
        <v>1150.0</v>
      </c>
      <c r="K10" s="51">
        <v>45678.0</v>
      </c>
      <c r="L10" s="55">
        <v>450.0</v>
      </c>
      <c r="M10" s="51">
        <v>45678.0</v>
      </c>
      <c r="N10" s="55">
        <v>45715.0</v>
      </c>
      <c r="O10" s="51">
        <v>45715.0</v>
      </c>
    </row>
    <row r="11">
      <c r="A11" s="50" t="s">
        <v>44</v>
      </c>
      <c r="B11" s="51">
        <v>45680.0</v>
      </c>
      <c r="C11" s="51">
        <v>45680.0</v>
      </c>
      <c r="D11" s="51" t="s">
        <v>45</v>
      </c>
      <c r="E11" s="51">
        <v>45680.0</v>
      </c>
      <c r="F11" s="51">
        <v>45717.0</v>
      </c>
      <c r="G11" s="51">
        <v>45717.0</v>
      </c>
      <c r="H11" s="33"/>
      <c r="I11" s="53" t="s">
        <v>42</v>
      </c>
      <c r="J11" s="56">
        <v>1150.0</v>
      </c>
      <c r="K11" s="54">
        <v>45679.0</v>
      </c>
      <c r="L11" s="56">
        <v>450.0</v>
      </c>
      <c r="M11" s="54">
        <v>45679.0</v>
      </c>
      <c r="N11" s="56">
        <v>45716.0</v>
      </c>
      <c r="O11" s="54">
        <v>45716.0</v>
      </c>
    </row>
    <row r="12">
      <c r="A12" s="53" t="s">
        <v>46</v>
      </c>
      <c r="B12" s="54">
        <v>45681.0</v>
      </c>
      <c r="C12" s="54">
        <v>45681.0</v>
      </c>
      <c r="D12" s="54" t="s">
        <v>47</v>
      </c>
      <c r="E12" s="54">
        <v>45681.0</v>
      </c>
      <c r="F12" s="54">
        <v>45718.0</v>
      </c>
      <c r="G12" s="54">
        <v>45718.0</v>
      </c>
      <c r="H12" s="33"/>
      <c r="I12" s="50" t="s">
        <v>44</v>
      </c>
      <c r="J12" s="55">
        <v>1150.0</v>
      </c>
      <c r="K12" s="51">
        <v>45680.0</v>
      </c>
      <c r="L12" s="55">
        <v>450.0</v>
      </c>
      <c r="M12" s="51">
        <v>45680.0</v>
      </c>
      <c r="N12" s="55">
        <v>45717.0</v>
      </c>
      <c r="O12" s="51">
        <v>45717.0</v>
      </c>
    </row>
    <row r="13">
      <c r="A13" s="50" t="s">
        <v>48</v>
      </c>
      <c r="B13" s="51">
        <v>45682.0</v>
      </c>
      <c r="C13" s="51">
        <v>45682.0</v>
      </c>
      <c r="D13" s="51" t="s">
        <v>49</v>
      </c>
      <c r="E13" s="51">
        <v>45682.0</v>
      </c>
      <c r="F13" s="51">
        <v>45719.0</v>
      </c>
      <c r="G13" s="51">
        <v>45719.0</v>
      </c>
      <c r="H13" s="33"/>
      <c r="I13" s="53" t="s">
        <v>46</v>
      </c>
      <c r="J13" s="56">
        <v>1150.0</v>
      </c>
      <c r="K13" s="54">
        <v>45681.0</v>
      </c>
      <c r="L13" s="56">
        <v>450.0</v>
      </c>
      <c r="M13" s="54">
        <v>45681.0</v>
      </c>
      <c r="N13" s="56">
        <v>45718.0</v>
      </c>
      <c r="O13" s="54">
        <v>45718.0</v>
      </c>
    </row>
    <row r="14">
      <c r="A14" s="53" t="s">
        <v>50</v>
      </c>
      <c r="B14" s="54">
        <v>45683.0</v>
      </c>
      <c r="C14" s="54">
        <v>45683.0</v>
      </c>
      <c r="D14" s="54" t="s">
        <v>51</v>
      </c>
      <c r="E14" s="54">
        <v>45683.0</v>
      </c>
      <c r="F14" s="54">
        <v>45720.0</v>
      </c>
      <c r="G14" s="54">
        <v>45720.0</v>
      </c>
      <c r="H14" s="33"/>
      <c r="I14" s="50" t="s">
        <v>48</v>
      </c>
      <c r="J14" s="55">
        <v>1150.0</v>
      </c>
      <c r="K14" s="51">
        <v>45682.0</v>
      </c>
      <c r="L14" s="55">
        <v>450.0</v>
      </c>
      <c r="M14" s="51">
        <v>45682.0</v>
      </c>
      <c r="N14" s="55">
        <v>45719.0</v>
      </c>
      <c r="O14" s="51">
        <v>45719.0</v>
      </c>
    </row>
    <row r="15">
      <c r="A15" s="33"/>
      <c r="B15" s="57"/>
      <c r="C15" s="33"/>
      <c r="D15" s="33"/>
      <c r="E15" s="38"/>
      <c r="F15" s="38"/>
      <c r="G15" s="38"/>
      <c r="H15" s="33"/>
      <c r="I15" s="53" t="s">
        <v>50</v>
      </c>
      <c r="J15" s="56">
        <v>1150.0</v>
      </c>
      <c r="K15" s="54">
        <v>45683.0</v>
      </c>
      <c r="L15" s="56">
        <v>450.0</v>
      </c>
      <c r="M15" s="54">
        <v>45683.0</v>
      </c>
      <c r="N15" s="56">
        <v>45720.0</v>
      </c>
      <c r="O15" s="54">
        <v>45720.0</v>
      </c>
    </row>
    <row r="16">
      <c r="A16" s="33"/>
      <c r="B16" s="57"/>
      <c r="C16" s="33"/>
      <c r="D16" s="33"/>
      <c r="E16" s="33"/>
      <c r="F16" s="33"/>
      <c r="G16" s="33"/>
      <c r="H16" s="33"/>
      <c r="I16" s="58" t="s">
        <v>52</v>
      </c>
      <c r="J16" s="59">
        <f>SUM(J4:J15)</f>
        <v>12665</v>
      </c>
      <c r="K16" s="60" t="s">
        <v>53</v>
      </c>
      <c r="L16" s="59">
        <f>SUM(L4:L15)</f>
        <v>5400</v>
      </c>
      <c r="M16" s="61">
        <v>12.0</v>
      </c>
      <c r="N16" s="59">
        <f>SUM(N4:N15)</f>
        <v>548574</v>
      </c>
      <c r="O16" s="61">
        <v>12.0</v>
      </c>
    </row>
    <row r="17">
      <c r="A17" s="38"/>
      <c r="B17" s="62"/>
      <c r="C17" s="38"/>
      <c r="D17" s="38"/>
      <c r="E17" s="38"/>
      <c r="F17" s="38"/>
      <c r="G17" s="38"/>
      <c r="H17" s="38"/>
      <c r="I17" s="63" t="s">
        <v>54</v>
      </c>
      <c r="J17" s="42"/>
      <c r="K17" s="64">
        <f>SUM(J16,L16,N16)</f>
        <v>566639</v>
      </c>
      <c r="L17" s="63" t="s">
        <v>55</v>
      </c>
      <c r="M17" s="41"/>
      <c r="N17" s="42"/>
      <c r="O17" s="65">
        <f>SUM(K16,M16,O16)</f>
        <v>24</v>
      </c>
    </row>
    <row r="18">
      <c r="A18" s="66"/>
      <c r="B18" s="67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>
      <c r="A19" s="40" t="s">
        <v>56</v>
      </c>
      <c r="B19" s="41"/>
      <c r="C19" s="41"/>
      <c r="D19" s="41"/>
      <c r="E19" s="41"/>
      <c r="F19" s="41"/>
      <c r="G19" s="42"/>
      <c r="H19" s="38"/>
      <c r="I19" s="43" t="s">
        <v>57</v>
      </c>
      <c r="J19" s="41"/>
      <c r="K19" s="41"/>
      <c r="L19" s="41"/>
      <c r="M19" s="41"/>
      <c r="N19" s="41"/>
      <c r="O19" s="42"/>
    </row>
    <row r="20">
      <c r="A20" s="44" t="s">
        <v>23</v>
      </c>
      <c r="B20" s="45" t="s">
        <v>24</v>
      </c>
      <c r="C20" s="42"/>
      <c r="D20" s="46" t="s">
        <v>25</v>
      </c>
      <c r="E20" s="42"/>
      <c r="F20" s="46" t="s">
        <v>26</v>
      </c>
      <c r="G20" s="42"/>
      <c r="H20" s="33"/>
      <c r="I20" s="47" t="s">
        <v>23</v>
      </c>
      <c r="J20" s="48" t="s">
        <v>24</v>
      </c>
      <c r="K20" s="42"/>
      <c r="L20" s="49" t="s">
        <v>25</v>
      </c>
      <c r="M20" s="42"/>
      <c r="N20" s="49" t="s">
        <v>26</v>
      </c>
      <c r="O20" s="42"/>
    </row>
    <row r="21">
      <c r="A21" s="50" t="s">
        <v>27</v>
      </c>
      <c r="B21" s="51">
        <v>45672.0</v>
      </c>
      <c r="C21" s="51">
        <v>45672.0</v>
      </c>
      <c r="D21" s="51" t="s">
        <v>28</v>
      </c>
      <c r="E21" s="51">
        <v>45672.0</v>
      </c>
      <c r="F21" s="51">
        <v>45709.0</v>
      </c>
      <c r="G21" s="51">
        <v>45709.0</v>
      </c>
      <c r="H21" s="33"/>
      <c r="I21" s="47"/>
      <c r="J21" s="52" t="s">
        <v>29</v>
      </c>
      <c r="K21" s="52" t="s">
        <v>9</v>
      </c>
      <c r="L21" s="52" t="s">
        <v>29</v>
      </c>
      <c r="M21" s="52" t="s">
        <v>9</v>
      </c>
      <c r="N21" s="52" t="s">
        <v>29</v>
      </c>
      <c r="O21" s="52" t="s">
        <v>9</v>
      </c>
    </row>
    <row r="22">
      <c r="A22" s="53" t="s">
        <v>30</v>
      </c>
      <c r="B22" s="54">
        <v>45673.0</v>
      </c>
      <c r="C22" s="54">
        <v>45673.0</v>
      </c>
      <c r="D22" s="54" t="s">
        <v>31</v>
      </c>
      <c r="E22" s="54">
        <v>45673.0</v>
      </c>
      <c r="F22" s="54">
        <v>45710.0</v>
      </c>
      <c r="G22" s="54">
        <v>45710.0</v>
      </c>
      <c r="H22" s="33"/>
      <c r="I22" s="50" t="s">
        <v>27</v>
      </c>
      <c r="J22" s="55">
        <v>1150.0</v>
      </c>
      <c r="K22" s="51">
        <v>45672.0</v>
      </c>
      <c r="L22" s="68">
        <v>1550.0</v>
      </c>
      <c r="M22" s="51">
        <v>45672.0</v>
      </c>
      <c r="N22" s="55">
        <v>45709.0</v>
      </c>
      <c r="O22" s="51">
        <v>45709.0</v>
      </c>
    </row>
    <row r="23">
      <c r="A23" s="50" t="s">
        <v>32</v>
      </c>
      <c r="B23" s="51">
        <v>45674.0</v>
      </c>
      <c r="C23" s="51">
        <v>45674.0</v>
      </c>
      <c r="D23" s="51" t="s">
        <v>33</v>
      </c>
      <c r="E23" s="51">
        <v>45674.0</v>
      </c>
      <c r="F23" s="51">
        <v>45711.0</v>
      </c>
      <c r="G23" s="51">
        <v>45711.0</v>
      </c>
      <c r="H23" s="33"/>
      <c r="I23" s="53" t="s">
        <v>30</v>
      </c>
      <c r="J23" s="56">
        <v>1150.0</v>
      </c>
      <c r="K23" s="54">
        <v>45673.0</v>
      </c>
      <c r="L23" s="69">
        <v>150.0</v>
      </c>
      <c r="M23" s="54">
        <v>45673.0</v>
      </c>
      <c r="N23" s="56">
        <v>45710.0</v>
      </c>
      <c r="O23" s="54">
        <v>45710.0</v>
      </c>
    </row>
    <row r="24">
      <c r="A24" s="53" t="s">
        <v>34</v>
      </c>
      <c r="B24" s="54">
        <v>45675.0</v>
      </c>
      <c r="C24" s="54">
        <v>45675.0</v>
      </c>
      <c r="D24" s="54" t="s">
        <v>35</v>
      </c>
      <c r="E24" s="54">
        <v>45675.0</v>
      </c>
      <c r="F24" s="54">
        <v>45712.0</v>
      </c>
      <c r="G24" s="54">
        <v>45712.0</v>
      </c>
      <c r="H24" s="33"/>
      <c r="I24" s="50" t="s">
        <v>32</v>
      </c>
      <c r="J24" s="55">
        <v>1150.0</v>
      </c>
      <c r="K24" s="51">
        <v>45674.0</v>
      </c>
      <c r="L24" s="55">
        <v>450.0</v>
      </c>
      <c r="M24" s="51">
        <v>45674.0</v>
      </c>
      <c r="N24" s="55">
        <v>45711.0</v>
      </c>
      <c r="O24" s="51">
        <v>45711.0</v>
      </c>
    </row>
    <row r="25">
      <c r="A25" s="50" t="s">
        <v>36</v>
      </c>
      <c r="B25" s="51">
        <v>45676.0</v>
      </c>
      <c r="C25" s="51">
        <v>45676.0</v>
      </c>
      <c r="D25" s="51" t="s">
        <v>37</v>
      </c>
      <c r="E25" s="51">
        <v>45676.0</v>
      </c>
      <c r="F25" s="51">
        <v>45713.0</v>
      </c>
      <c r="G25" s="51">
        <v>45713.0</v>
      </c>
      <c r="H25" s="33"/>
      <c r="I25" s="53" t="s">
        <v>34</v>
      </c>
      <c r="J25" s="56">
        <v>15.0</v>
      </c>
      <c r="K25" s="54">
        <v>45675.0</v>
      </c>
      <c r="L25" s="56">
        <v>450.0</v>
      </c>
      <c r="M25" s="54">
        <v>45675.0</v>
      </c>
      <c r="N25" s="56">
        <v>45712.0</v>
      </c>
      <c r="O25" s="54">
        <v>45712.0</v>
      </c>
    </row>
    <row r="26">
      <c r="A26" s="53" t="s">
        <v>38</v>
      </c>
      <c r="B26" s="54">
        <v>45677.0</v>
      </c>
      <c r="C26" s="54">
        <v>45677.0</v>
      </c>
      <c r="D26" s="54" t="s">
        <v>39</v>
      </c>
      <c r="E26" s="54">
        <v>45677.0</v>
      </c>
      <c r="F26" s="54">
        <v>45714.0</v>
      </c>
      <c r="G26" s="54">
        <v>45714.0</v>
      </c>
      <c r="H26" s="33"/>
      <c r="I26" s="50" t="s">
        <v>36</v>
      </c>
      <c r="J26" s="55">
        <v>1150.0</v>
      </c>
      <c r="K26" s="51">
        <v>45676.0</v>
      </c>
      <c r="L26" s="55">
        <v>450.0</v>
      </c>
      <c r="M26" s="51">
        <v>45676.0</v>
      </c>
      <c r="N26" s="55">
        <v>45713.0</v>
      </c>
      <c r="O26" s="51">
        <v>45713.0</v>
      </c>
    </row>
    <row r="27">
      <c r="A27" s="50" t="s">
        <v>40</v>
      </c>
      <c r="B27" s="51">
        <v>45678.0</v>
      </c>
      <c r="C27" s="51">
        <v>45678.0</v>
      </c>
      <c r="D27" s="51" t="s">
        <v>41</v>
      </c>
      <c r="E27" s="51">
        <v>45678.0</v>
      </c>
      <c r="F27" s="51">
        <v>45715.0</v>
      </c>
      <c r="G27" s="51">
        <v>45715.0</v>
      </c>
      <c r="H27" s="33"/>
      <c r="I27" s="53" t="s">
        <v>38</v>
      </c>
      <c r="J27" s="56">
        <v>1150.0</v>
      </c>
      <c r="K27" s="54">
        <v>45677.0</v>
      </c>
      <c r="L27" s="56">
        <v>450.0</v>
      </c>
      <c r="M27" s="54">
        <v>45677.0</v>
      </c>
      <c r="N27" s="56">
        <v>45714.0</v>
      </c>
      <c r="O27" s="54">
        <v>45714.0</v>
      </c>
    </row>
    <row r="28">
      <c r="A28" s="53" t="s">
        <v>42</v>
      </c>
      <c r="B28" s="54">
        <v>45679.0</v>
      </c>
      <c r="C28" s="54">
        <v>45679.0</v>
      </c>
      <c r="D28" s="54" t="s">
        <v>43</v>
      </c>
      <c r="E28" s="54">
        <v>45679.0</v>
      </c>
      <c r="F28" s="54">
        <v>45716.0</v>
      </c>
      <c r="G28" s="54">
        <v>45716.0</v>
      </c>
      <c r="H28" s="33"/>
      <c r="I28" s="50" t="s">
        <v>40</v>
      </c>
      <c r="J28" s="55">
        <v>1150.0</v>
      </c>
      <c r="K28" s="51">
        <v>45678.0</v>
      </c>
      <c r="L28" s="55">
        <v>450.0</v>
      </c>
      <c r="M28" s="51">
        <v>45678.0</v>
      </c>
      <c r="N28" s="55">
        <v>45715.0</v>
      </c>
      <c r="O28" s="51">
        <v>45715.0</v>
      </c>
    </row>
    <row r="29">
      <c r="A29" s="50" t="s">
        <v>44</v>
      </c>
      <c r="B29" s="51">
        <v>45680.0</v>
      </c>
      <c r="C29" s="51">
        <v>45680.0</v>
      </c>
      <c r="D29" s="51" t="s">
        <v>45</v>
      </c>
      <c r="E29" s="51">
        <v>45680.0</v>
      </c>
      <c r="F29" s="51">
        <v>45717.0</v>
      </c>
      <c r="G29" s="51">
        <v>45717.0</v>
      </c>
      <c r="H29" s="33"/>
      <c r="I29" s="53" t="s">
        <v>42</v>
      </c>
      <c r="J29" s="56">
        <v>1150.0</v>
      </c>
      <c r="K29" s="54">
        <v>45679.0</v>
      </c>
      <c r="L29" s="56">
        <v>450.0</v>
      </c>
      <c r="M29" s="54">
        <v>45679.0</v>
      </c>
      <c r="N29" s="56">
        <v>45716.0</v>
      </c>
      <c r="O29" s="54">
        <v>45716.0</v>
      </c>
    </row>
    <row r="30">
      <c r="A30" s="53" t="s">
        <v>46</v>
      </c>
      <c r="B30" s="54">
        <v>45681.0</v>
      </c>
      <c r="C30" s="54">
        <v>45681.0</v>
      </c>
      <c r="D30" s="54" t="s">
        <v>47</v>
      </c>
      <c r="E30" s="54">
        <v>45681.0</v>
      </c>
      <c r="F30" s="54">
        <v>45718.0</v>
      </c>
      <c r="G30" s="54">
        <v>45718.0</v>
      </c>
      <c r="H30" s="33"/>
      <c r="I30" s="50" t="s">
        <v>44</v>
      </c>
      <c r="J30" s="55">
        <v>1150.0</v>
      </c>
      <c r="K30" s="51">
        <v>45680.0</v>
      </c>
      <c r="L30" s="55">
        <v>450.0</v>
      </c>
      <c r="M30" s="51">
        <v>45680.0</v>
      </c>
      <c r="N30" s="55">
        <v>45717.0</v>
      </c>
      <c r="O30" s="51">
        <v>45717.0</v>
      </c>
    </row>
    <row r="31">
      <c r="A31" s="50" t="s">
        <v>48</v>
      </c>
      <c r="B31" s="51">
        <v>45682.0</v>
      </c>
      <c r="C31" s="51">
        <v>45682.0</v>
      </c>
      <c r="D31" s="51" t="s">
        <v>49</v>
      </c>
      <c r="E31" s="51">
        <v>45682.0</v>
      </c>
      <c r="F31" s="51">
        <v>45719.0</v>
      </c>
      <c r="G31" s="51">
        <v>45719.0</v>
      </c>
      <c r="H31" s="33"/>
      <c r="I31" s="53" t="s">
        <v>46</v>
      </c>
      <c r="J31" s="56">
        <v>1150.0</v>
      </c>
      <c r="K31" s="54">
        <v>45681.0</v>
      </c>
      <c r="L31" s="56">
        <v>450.0</v>
      </c>
      <c r="M31" s="54">
        <v>45681.0</v>
      </c>
      <c r="N31" s="56">
        <v>45718.0</v>
      </c>
      <c r="O31" s="54">
        <v>45718.0</v>
      </c>
    </row>
    <row r="32">
      <c r="A32" s="53" t="s">
        <v>50</v>
      </c>
      <c r="B32" s="54">
        <v>45683.0</v>
      </c>
      <c r="C32" s="54">
        <v>45683.0</v>
      </c>
      <c r="D32" s="54" t="s">
        <v>51</v>
      </c>
      <c r="E32" s="54">
        <v>45683.0</v>
      </c>
      <c r="F32" s="54">
        <v>45720.0</v>
      </c>
      <c r="G32" s="54">
        <v>45720.0</v>
      </c>
      <c r="H32" s="33"/>
      <c r="I32" s="50" t="s">
        <v>48</v>
      </c>
      <c r="J32" s="55">
        <v>1150.0</v>
      </c>
      <c r="K32" s="51">
        <v>45682.0</v>
      </c>
      <c r="L32" s="55">
        <v>450.0</v>
      </c>
      <c r="M32" s="51">
        <v>45682.0</v>
      </c>
      <c r="N32" s="55">
        <v>45719.0</v>
      </c>
      <c r="O32" s="51">
        <v>45719.0</v>
      </c>
    </row>
    <row r="33">
      <c r="A33" s="33"/>
      <c r="B33" s="57"/>
      <c r="C33" s="33"/>
      <c r="D33" s="33"/>
      <c r="E33" s="38"/>
      <c r="F33" s="38"/>
      <c r="G33" s="38"/>
      <c r="H33" s="33"/>
      <c r="I33" s="53" t="s">
        <v>50</v>
      </c>
      <c r="J33" s="56">
        <v>1150.0</v>
      </c>
      <c r="K33" s="54">
        <v>45683.0</v>
      </c>
      <c r="L33" s="56">
        <v>450.0</v>
      </c>
      <c r="M33" s="54">
        <v>45683.0</v>
      </c>
      <c r="N33" s="56">
        <v>45720.0</v>
      </c>
      <c r="O33" s="54">
        <v>45720.0</v>
      </c>
    </row>
    <row r="34">
      <c r="A34" s="33"/>
      <c r="B34" s="57"/>
      <c r="C34" s="33"/>
      <c r="D34" s="33"/>
      <c r="E34" s="33"/>
      <c r="F34" s="33"/>
      <c r="G34" s="33"/>
      <c r="H34" s="33"/>
      <c r="I34" s="58" t="s">
        <v>52</v>
      </c>
      <c r="J34" s="59">
        <f>SUM(J22:J33)</f>
        <v>12665</v>
      </c>
      <c r="K34" s="60">
        <f>COUNTA(K22:K33)</f>
        <v>12</v>
      </c>
      <c r="L34" s="59">
        <f>SUM(L22:L33)</f>
        <v>6200</v>
      </c>
      <c r="M34" s="61">
        <f>COUNTA(M22:M33)</f>
        <v>12</v>
      </c>
      <c r="N34" s="59">
        <f>SUM(N22:N33)</f>
        <v>548574</v>
      </c>
      <c r="O34" s="61">
        <f>COUNTA(O22:O33)</f>
        <v>12</v>
      </c>
    </row>
    <row r="35">
      <c r="A35" s="38"/>
      <c r="B35" s="62"/>
      <c r="C35" s="38"/>
      <c r="D35" s="38"/>
      <c r="E35" s="38"/>
      <c r="F35" s="38"/>
      <c r="G35" s="38"/>
      <c r="H35" s="38"/>
      <c r="I35" s="63" t="s">
        <v>54</v>
      </c>
      <c r="J35" s="42"/>
      <c r="K35" s="64">
        <f>SUM(J34,L34,N34)</f>
        <v>567439</v>
      </c>
      <c r="L35" s="63" t="s">
        <v>55</v>
      </c>
      <c r="M35" s="41"/>
      <c r="N35" s="42"/>
      <c r="O35" s="65">
        <f>SUM(K34,M34,O34)</f>
        <v>36</v>
      </c>
    </row>
    <row r="36">
      <c r="A36" s="66"/>
      <c r="B36" s="67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</row>
  </sheetData>
  <mergeCells count="20">
    <mergeCell ref="A1:G1"/>
    <mergeCell ref="I1:O1"/>
    <mergeCell ref="B2:C2"/>
    <mergeCell ref="D2:E2"/>
    <mergeCell ref="J2:K2"/>
    <mergeCell ref="L2:M2"/>
    <mergeCell ref="N2:O2"/>
    <mergeCell ref="L20:M20"/>
    <mergeCell ref="N20:O20"/>
    <mergeCell ref="I35:J35"/>
    <mergeCell ref="L35:N35"/>
    <mergeCell ref="I17:J17"/>
    <mergeCell ref="L17:N17"/>
    <mergeCell ref="F2:G2"/>
    <mergeCell ref="A19:G19"/>
    <mergeCell ref="I19:O19"/>
    <mergeCell ref="B20:C20"/>
    <mergeCell ref="D20:E20"/>
    <mergeCell ref="F20:G20"/>
    <mergeCell ref="J20:K20"/>
  </mergeCells>
  <drawing r:id="rId1"/>
</worksheet>
</file>